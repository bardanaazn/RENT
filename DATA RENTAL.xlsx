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unadarma\RENT\"/>
    </mc:Choice>
  </mc:AlternateContent>
  <xr:revisionPtr revIDLastSave="0" documentId="8_{30223AFE-FEBA-47B4-9BE7-4958083B1A69}" xr6:coauthVersionLast="47" xr6:coauthVersionMax="47" xr10:uidLastSave="{00000000-0000-0000-0000-000000000000}"/>
  <bookViews>
    <workbookView xWindow="-120" yWindow="-120" windowWidth="29040" windowHeight="15720" activeTab="1" xr2:uid="{55E9CD4B-B452-4A84-8DBD-AA86B2D6532D}"/>
  </bookViews>
  <sheets>
    <sheet name="Data Manajemen" sheetId="1" r:id="rId1"/>
    <sheet name="INVO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B4" i="1"/>
  <c r="G6" i="1"/>
  <c r="G5" i="1"/>
  <c r="F15" i="1"/>
  <c r="H15" i="1" s="1"/>
  <c r="F14" i="1"/>
  <c r="H14" i="1" s="1"/>
  <c r="H13" i="1"/>
  <c r="B9" i="2" s="1"/>
  <c r="F13" i="1"/>
  <c r="B8" i="2" s="1"/>
  <c r="H10" i="1"/>
  <c r="H9" i="1"/>
  <c r="B5" i="2"/>
  <c r="B7" i="2"/>
  <c r="H5" i="1" l="1"/>
  <c r="A4" i="1"/>
  <c r="H6" i="1"/>
</calcChain>
</file>

<file path=xl/sharedStrings.xml><?xml version="1.0" encoding="utf-8"?>
<sst xmlns="http://schemas.openxmlformats.org/spreadsheetml/2006/main" count="74" uniqueCount="65">
  <si>
    <t>ID Mobil</t>
  </si>
  <si>
    <t>Merk &amp; Tipe</t>
  </si>
  <si>
    <t>Plat Nomor</t>
  </si>
  <si>
    <t>Tahun</t>
  </si>
  <si>
    <t>Harga /Jam</t>
  </si>
  <si>
    <t>Status</t>
  </si>
  <si>
    <t>Terakhir Servis</t>
  </si>
  <si>
    <t>MBL01</t>
  </si>
  <si>
    <t>Toyota Avanza</t>
  </si>
  <si>
    <t>B 1234 ABC</t>
  </si>
  <si>
    <t>MBL02</t>
  </si>
  <si>
    <t>Honda Jazz RS</t>
  </si>
  <si>
    <t>B 5678 DEF</t>
  </si>
  <si>
    <t>Sedang Disewa</t>
  </si>
  <si>
    <t>Perbaikan</t>
  </si>
  <si>
    <t>ID Transaksi</t>
  </si>
  <si>
    <t>Tanggal</t>
  </si>
  <si>
    <t>Nama Pelanggan</t>
  </si>
  <si>
    <t>Mobil</t>
  </si>
  <si>
    <t>Durasi (Jam)</t>
  </si>
  <si>
    <t>Total Biaya</t>
  </si>
  <si>
    <t>Status Bayar</t>
  </si>
  <si>
    <t>TR001</t>
  </si>
  <si>
    <t>Yudi</t>
  </si>
  <si>
    <t>Avanza</t>
  </si>
  <si>
    <t>Lunas</t>
  </si>
  <si>
    <t>TR002</t>
  </si>
  <si>
    <t>Andito</t>
  </si>
  <si>
    <t>Jazz RS</t>
  </si>
  <si>
    <t>DP (100rb)</t>
  </si>
  <si>
    <t>TR003</t>
  </si>
  <si>
    <t>Budi</t>
  </si>
  <si>
    <t>Belum Bayar</t>
  </si>
  <si>
    <t>No. WhatsApp</t>
  </si>
  <si>
    <t>Alamat</t>
  </si>
  <si>
    <t>Jaminan (KTP/Motor)</t>
  </si>
  <si>
    <t>Frekuensi Sewa</t>
  </si>
  <si>
    <t>Catatan</t>
  </si>
  <si>
    <t>081234567xxx</t>
  </si>
  <si>
    <t>Margonda, Depok</t>
  </si>
  <si>
    <t>KTP</t>
  </si>
  <si>
    <t>Pelanggan setia</t>
  </si>
  <si>
    <t>085778901xxx</t>
  </si>
  <si>
    <t>Citayam</t>
  </si>
  <si>
    <t>KTP + Motor</t>
  </si>
  <si>
    <t>-</t>
  </si>
  <si>
    <t>081311223xxx</t>
  </si>
  <si>
    <t>Kelapa Dua</t>
  </si>
  <si>
    <t>SIM</t>
  </si>
  <si>
    <t>TOTAL OMZET</t>
  </si>
  <si>
    <t>TOTAL TRANSAKSI</t>
  </si>
  <si>
    <t>Status Servis</t>
  </si>
  <si>
    <t>Sisa Bayar</t>
  </si>
  <si>
    <t>INVOICE RENTALINAJA</t>
  </si>
  <si>
    <t>Masukkan ID Transaksi:</t>
  </si>
  <si>
    <t>Nama Pelanggan:</t>
  </si>
  <si>
    <t>Mobil:</t>
  </si>
  <si>
    <t>Durasi:</t>
  </si>
  <si>
    <t>Total Biaya:</t>
  </si>
  <si>
    <t>Sisa Bayar:</t>
  </si>
  <si>
    <t>Dashboard Laporan Bulanan</t>
  </si>
  <si>
    <t>Nama Mobil</t>
  </si>
  <si>
    <t>Jumlah Disewa</t>
  </si>
  <si>
    <t>Total Pendapatan</t>
  </si>
  <si>
    <t>DASHBOARD RENTALINAJA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</si>
</sst>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3809]dd/mm/yyyy;@"/>
    <numFmt numFmtId="172" formatCode="&quot;Rp&quot;#,##0.00"/>
  </numFmts>
  <fonts count="8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4" tint="-0.499984740745262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AEAE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Border="1"/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0" borderId="0" xfId="0" applyFont="1" applyBorder="1"/>
    <xf numFmtId="0" fontId="6" fillId="4" borderId="0" xfId="0" applyFont="1" applyFill="1" applyBorder="1"/>
    <xf numFmtId="0" fontId="6" fillId="0" borderId="0" xfId="0" applyFont="1" applyBorder="1" applyAlignment="1">
      <alignment horizontal="left" vertical="center" wrapText="1"/>
    </xf>
    <xf numFmtId="0" fontId="6" fillId="3" borderId="0" xfId="0" applyFont="1" applyFill="1" applyBorder="1" applyAlignment="1">
      <alignment horizontal="right"/>
    </xf>
    <xf numFmtId="171" fontId="6" fillId="3" borderId="0" xfId="0" applyNumberFormat="1" applyFont="1" applyFill="1" applyBorder="1" applyAlignment="1">
      <alignment horizontal="right"/>
    </xf>
    <xf numFmtId="0" fontId="6" fillId="4" borderId="0" xfId="0" applyFont="1" applyFill="1" applyBorder="1" applyAlignment="1">
      <alignment horizontal="right"/>
    </xf>
    <xf numFmtId="171" fontId="6" fillId="4" borderId="0" xfId="0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14" fontId="6" fillId="4" borderId="0" xfId="0" applyNumberFormat="1" applyFont="1" applyFill="1" applyBorder="1" applyAlignment="1">
      <alignment horizontal="right" vertical="center" wrapText="1"/>
    </xf>
    <xf numFmtId="0" fontId="6" fillId="4" borderId="0" xfId="0" applyFont="1" applyFill="1" applyBorder="1" applyAlignment="1">
      <alignment horizontal="right" vertical="center" wrapText="1"/>
    </xf>
    <xf numFmtId="0" fontId="6" fillId="4" borderId="0" xfId="0" applyFont="1" applyFill="1" applyBorder="1" applyAlignment="1" applyProtection="1">
      <alignment horizontal="right" vertical="center" wrapText="1"/>
      <protection locked="0"/>
    </xf>
    <xf numFmtId="14" fontId="6" fillId="3" borderId="0" xfId="0" applyNumberFormat="1" applyFont="1" applyFill="1" applyBorder="1" applyAlignment="1">
      <alignment horizontal="right" vertical="center" wrapText="1"/>
    </xf>
    <xf numFmtId="0" fontId="6" fillId="3" borderId="0" xfId="0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5" fillId="5" borderId="0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3" borderId="5" xfId="0" applyFont="1" applyFill="1" applyBorder="1"/>
    <xf numFmtId="0" fontId="5" fillId="3" borderId="0" xfId="0" applyFont="1" applyFill="1" applyBorder="1"/>
    <xf numFmtId="0" fontId="5" fillId="3" borderId="6" xfId="0" applyFont="1" applyFill="1" applyBorder="1"/>
    <xf numFmtId="0" fontId="6" fillId="4" borderId="5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7" fillId="6" borderId="2" xfId="1" applyFont="1" applyFill="1" applyBorder="1" applyAlignment="1">
      <alignment horizontal="center"/>
    </xf>
    <xf numFmtId="0" fontId="7" fillId="6" borderId="4" xfId="1" applyFont="1" applyFill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5" xfId="0" applyFont="1" applyBorder="1"/>
    <xf numFmtId="0" fontId="6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6" fillId="0" borderId="9" xfId="0" applyFont="1" applyBorder="1"/>
    <xf numFmtId="0" fontId="6" fillId="4" borderId="0" xfId="0" applyFont="1" applyFill="1" applyBorder="1" applyAlignment="1" applyProtection="1">
      <alignment horizontal="center" vertical="center" wrapText="1"/>
      <protection locked="0"/>
    </xf>
    <xf numFmtId="0" fontId="6" fillId="3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right"/>
    </xf>
    <xf numFmtId="172" fontId="6" fillId="3" borderId="7" xfId="0" applyNumberFormat="1" applyFont="1" applyFill="1" applyBorder="1"/>
    <xf numFmtId="172" fontId="6" fillId="3" borderId="0" xfId="0" applyNumberFormat="1" applyFont="1" applyFill="1" applyBorder="1" applyAlignment="1">
      <alignment horizontal="right"/>
    </xf>
    <xf numFmtId="172" fontId="6" fillId="4" borderId="0" xfId="0" applyNumberFormat="1" applyFont="1" applyFill="1" applyBorder="1" applyAlignment="1">
      <alignment horizontal="right"/>
    </xf>
    <xf numFmtId="172" fontId="6" fillId="4" borderId="6" xfId="0" applyNumberFormat="1" applyFont="1" applyFill="1" applyBorder="1"/>
    <xf numFmtId="172" fontId="6" fillId="3" borderId="9" xfId="0" applyNumberFormat="1" applyFont="1" applyFill="1" applyBorder="1"/>
    <xf numFmtId="172" fontId="6" fillId="4" borderId="0" xfId="0" applyNumberFormat="1" applyFont="1" applyFill="1" applyBorder="1" applyAlignment="1">
      <alignment horizontal="right" vertical="center" wrapText="1"/>
    </xf>
    <xf numFmtId="172" fontId="6" fillId="3" borderId="0" xfId="0" applyNumberFormat="1" applyFont="1" applyFill="1" applyBorder="1" applyAlignment="1">
      <alignment horizontal="right" vertical="center" wrapText="1"/>
    </xf>
  </cellXfs>
  <cellStyles count="2">
    <cellStyle name="Neutral" xfId="1" builtinId="28"/>
    <cellStyle name="Normal" xfId="0" builtinId="0"/>
  </cellStyles>
  <dxfs count="19">
    <dxf>
      <font>
        <color rgb="FF9C5700"/>
      </font>
      <fill>
        <patternFill>
          <bgColor rgb="FFFFEB9C"/>
        </patternFill>
      </fill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AEAEA"/>
      <color rgb="FFDDDDDD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AE0-8E11-41E8-B217-E3D02879A8BC}">
  <dimension ref="A1:I20"/>
  <sheetViews>
    <sheetView workbookViewId="0">
      <selection activeCell="M16" sqref="M16:M17"/>
    </sheetView>
  </sheetViews>
  <sheetFormatPr defaultRowHeight="16.5" x14ac:dyDescent="0.3"/>
  <cols>
    <col min="1" max="1" width="24.7109375" style="1" customWidth="1"/>
    <col min="2" max="2" width="22.85546875" style="1" customWidth="1"/>
    <col min="3" max="3" width="23.42578125" style="1" customWidth="1"/>
    <col min="4" max="4" width="25.140625" style="1" bestFit="1" customWidth="1"/>
    <col min="5" max="5" width="21" style="1" customWidth="1"/>
    <col min="6" max="6" width="23.7109375" style="1" customWidth="1"/>
    <col min="7" max="7" width="23" style="1" customWidth="1"/>
    <col min="8" max="8" width="20.85546875" style="1" bestFit="1" customWidth="1"/>
    <col min="9" max="9" width="21" style="1" customWidth="1"/>
    <col min="10" max="16384" width="9.140625" style="1"/>
  </cols>
  <sheetData>
    <row r="1" spans="1:9" ht="17.25" thickBot="1" x14ac:dyDescent="0.35">
      <c r="A1" s="3" t="s">
        <v>64</v>
      </c>
      <c r="B1" s="4"/>
      <c r="C1" s="4"/>
      <c r="D1" s="4"/>
      <c r="E1" s="4"/>
      <c r="F1" s="4"/>
      <c r="G1" s="4"/>
      <c r="H1" s="4"/>
    </row>
    <row r="2" spans="1:9" ht="17.25" thickBot="1" x14ac:dyDescent="0.35"/>
    <row r="3" spans="1:9" ht="17.25" x14ac:dyDescent="0.3">
      <c r="A3" s="29" t="s">
        <v>49</v>
      </c>
      <c r="B3" s="30" t="s">
        <v>50</v>
      </c>
      <c r="F3" s="20" t="s">
        <v>60</v>
      </c>
      <c r="G3" s="21"/>
      <c r="H3" s="22"/>
    </row>
    <row r="4" spans="1:9" ht="18" thickBot="1" x14ac:dyDescent="0.35">
      <c r="A4" s="47">
        <f>SUM(F11:F100)</f>
        <v>1250000</v>
      </c>
      <c r="B4" s="46" t="str">
        <f>"Total: " &amp; COUNTA(A11:A1000) &amp; " Transaksi"</f>
        <v>Total: 8 Transaksi</v>
      </c>
      <c r="F4" s="23" t="s">
        <v>61</v>
      </c>
      <c r="G4" s="24" t="s">
        <v>62</v>
      </c>
      <c r="H4" s="25" t="s">
        <v>63</v>
      </c>
    </row>
    <row r="5" spans="1:9" ht="17.25" x14ac:dyDescent="0.3">
      <c r="F5" s="26" t="s">
        <v>24</v>
      </c>
      <c r="G5" s="6">
        <f>COUNTIF(D11:D100,"Avanza")</f>
        <v>2</v>
      </c>
      <c r="H5" s="50">
        <f>SUMIF(D11:D100,"Avanza",F11:F100)</f>
        <v>900000</v>
      </c>
    </row>
    <row r="6" spans="1:9" ht="18" thickBot="1" x14ac:dyDescent="0.35">
      <c r="C6" s="5"/>
      <c r="F6" s="27" t="s">
        <v>28</v>
      </c>
      <c r="G6" s="28">
        <f>COUNTIF(D11:D100,"Jazz RS")</f>
        <v>1</v>
      </c>
      <c r="H6" s="51">
        <f>SUMIF(D11:D100,"Jazz RS",F11:F100)</f>
        <v>350000</v>
      </c>
    </row>
    <row r="7" spans="1:9" ht="17.25" x14ac:dyDescent="0.3">
      <c r="A7" s="5"/>
      <c r="B7" s="5"/>
      <c r="C7" s="5"/>
      <c r="G7" s="5"/>
      <c r="H7" s="5"/>
    </row>
    <row r="8" spans="1:9" ht="17.25" x14ac:dyDescent="0.3">
      <c r="A8" s="19" t="s">
        <v>0</v>
      </c>
      <c r="B8" s="19" t="s">
        <v>1</v>
      </c>
      <c r="C8" s="19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19" t="s">
        <v>51</v>
      </c>
    </row>
    <row r="9" spans="1:9" ht="17.25" x14ac:dyDescent="0.3">
      <c r="A9" s="44" t="s">
        <v>7</v>
      </c>
      <c r="B9" s="8" t="s">
        <v>8</v>
      </c>
      <c r="C9" s="8" t="s">
        <v>9</v>
      </c>
      <c r="D9" s="8">
        <v>2022</v>
      </c>
      <c r="E9" s="48">
        <v>150000</v>
      </c>
      <c r="F9" s="8" t="s">
        <v>14</v>
      </c>
      <c r="G9" s="9">
        <v>46122</v>
      </c>
      <c r="H9" s="8" t="str">
        <f ca="1">IF(TODAY()-G9 &gt; 180, "Waktunya Servis!", "Aman")</f>
        <v>Aman</v>
      </c>
    </row>
    <row r="10" spans="1:9" ht="17.25" x14ac:dyDescent="0.3">
      <c r="A10" s="45" t="s">
        <v>10</v>
      </c>
      <c r="B10" s="10" t="s">
        <v>11</v>
      </c>
      <c r="C10" s="10" t="s">
        <v>12</v>
      </c>
      <c r="D10" s="10">
        <v>2023</v>
      </c>
      <c r="E10" s="49">
        <v>175000</v>
      </c>
      <c r="F10" s="10" t="s">
        <v>13</v>
      </c>
      <c r="G10" s="11">
        <v>46123</v>
      </c>
      <c r="H10" s="10" t="str">
        <f t="shared" ref="H10" ca="1" si="0">IF(TODAY()-G10 &gt; 180, "Waktunya Servis!", "Aman")</f>
        <v>Aman</v>
      </c>
    </row>
    <row r="11" spans="1:9" ht="17.25" x14ac:dyDescent="0.3">
      <c r="A11" s="5"/>
      <c r="B11" s="12"/>
      <c r="C11" s="12"/>
      <c r="D11" s="12"/>
      <c r="E11" s="12"/>
      <c r="F11" s="12"/>
      <c r="G11" s="12"/>
      <c r="H11" s="12"/>
      <c r="I11" s="2"/>
    </row>
    <row r="12" spans="1:9" ht="17.25" x14ac:dyDescent="0.3">
      <c r="A12" s="19" t="s">
        <v>15</v>
      </c>
      <c r="B12" s="19" t="s">
        <v>16</v>
      </c>
      <c r="C12" s="19" t="s">
        <v>17</v>
      </c>
      <c r="D12" s="19" t="s">
        <v>18</v>
      </c>
      <c r="E12" s="19" t="s">
        <v>19</v>
      </c>
      <c r="F12" s="19" t="s">
        <v>20</v>
      </c>
      <c r="G12" s="19" t="s">
        <v>21</v>
      </c>
      <c r="H12" s="19" t="s">
        <v>52</v>
      </c>
      <c r="I12" s="2"/>
    </row>
    <row r="13" spans="1:9" ht="17.25" x14ac:dyDescent="0.3">
      <c r="A13" s="41" t="s">
        <v>22</v>
      </c>
      <c r="B13" s="13">
        <v>46152</v>
      </c>
      <c r="C13" s="14" t="s">
        <v>23</v>
      </c>
      <c r="D13" s="14" t="s">
        <v>24</v>
      </c>
      <c r="E13" s="15">
        <v>1</v>
      </c>
      <c r="F13" s="52">
        <f>IF(D13="Avanza",E13*150000,IF(D13="Jazz RS",E13*175000,E13*250000))</f>
        <v>150000</v>
      </c>
      <c r="G13" s="14" t="s">
        <v>25</v>
      </c>
      <c r="H13" s="49">
        <f>IF(G13="Lunas", 0, IF(G13="Belum Bayar", F13, F13-100000))</f>
        <v>0</v>
      </c>
      <c r="I13" s="2"/>
    </row>
    <row r="14" spans="1:9" ht="17.25" x14ac:dyDescent="0.3">
      <c r="A14" s="42" t="s">
        <v>26</v>
      </c>
      <c r="B14" s="16">
        <v>46153</v>
      </c>
      <c r="C14" s="17" t="s">
        <v>27</v>
      </c>
      <c r="D14" s="17" t="s">
        <v>28</v>
      </c>
      <c r="E14" s="17">
        <v>2</v>
      </c>
      <c r="F14" s="53">
        <f t="shared" ref="F14:F15" si="1">IF(D14="Avanza",E14*150000,IF(D14="Jazz RS",E14*175000,E14*250000))</f>
        <v>350000</v>
      </c>
      <c r="G14" s="17" t="s">
        <v>29</v>
      </c>
      <c r="H14" s="48">
        <f t="shared" ref="H14:H15" si="2">IF(G14="Lunas", 0, IF(G14="Belum Bayar", F14, F14-100000))</f>
        <v>250000</v>
      </c>
      <c r="I14" s="2"/>
    </row>
    <row r="15" spans="1:9" ht="17.25" x14ac:dyDescent="0.3">
      <c r="A15" s="43" t="s">
        <v>30</v>
      </c>
      <c r="B15" s="13">
        <v>46153</v>
      </c>
      <c r="C15" s="14" t="s">
        <v>31</v>
      </c>
      <c r="D15" s="14" t="s">
        <v>24</v>
      </c>
      <c r="E15" s="14">
        <v>5</v>
      </c>
      <c r="F15" s="52">
        <f t="shared" si="1"/>
        <v>750000</v>
      </c>
      <c r="G15" s="14" t="s">
        <v>32</v>
      </c>
      <c r="H15" s="49">
        <f t="shared" si="2"/>
        <v>750000</v>
      </c>
      <c r="I15" s="2"/>
    </row>
    <row r="16" spans="1:9" ht="17.25" x14ac:dyDescent="0.3">
      <c r="A16" s="7"/>
      <c r="B16" s="18"/>
      <c r="C16" s="18"/>
      <c r="D16" s="18"/>
      <c r="E16" s="18"/>
      <c r="F16" s="18"/>
      <c r="G16" s="18"/>
      <c r="H16" s="12"/>
      <c r="I16" s="2"/>
    </row>
    <row r="17" spans="1:9" ht="17.25" x14ac:dyDescent="0.3">
      <c r="A17" s="19" t="s">
        <v>17</v>
      </c>
      <c r="B17" s="19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2"/>
      <c r="H17" s="12"/>
      <c r="I17" s="2"/>
    </row>
    <row r="18" spans="1:9" ht="17.25" x14ac:dyDescent="0.3">
      <c r="A18" s="45" t="s">
        <v>23</v>
      </c>
      <c r="B18" s="10" t="s">
        <v>38</v>
      </c>
      <c r="C18" s="10" t="s">
        <v>39</v>
      </c>
      <c r="D18" s="10" t="s">
        <v>40</v>
      </c>
      <c r="E18" s="10">
        <v>3</v>
      </c>
      <c r="F18" s="10" t="s">
        <v>41</v>
      </c>
      <c r="G18" s="12"/>
      <c r="H18" s="12"/>
      <c r="I18" s="2"/>
    </row>
    <row r="19" spans="1:9" ht="17.25" x14ac:dyDescent="0.3">
      <c r="A19" s="44" t="s">
        <v>27</v>
      </c>
      <c r="B19" s="8" t="s">
        <v>42</v>
      </c>
      <c r="C19" s="8" t="s">
        <v>43</v>
      </c>
      <c r="D19" s="8" t="s">
        <v>44</v>
      </c>
      <c r="E19" s="8">
        <v>1</v>
      </c>
      <c r="F19" s="8" t="s">
        <v>45</v>
      </c>
      <c r="G19" s="12"/>
      <c r="H19" s="12"/>
      <c r="I19" s="2"/>
    </row>
    <row r="20" spans="1:9" ht="17.25" x14ac:dyDescent="0.3">
      <c r="A20" s="45" t="s">
        <v>31</v>
      </c>
      <c r="B20" s="10" t="s">
        <v>46</v>
      </c>
      <c r="C20" s="10" t="s">
        <v>47</v>
      </c>
      <c r="D20" s="10" t="s">
        <v>48</v>
      </c>
      <c r="E20" s="10">
        <v>2</v>
      </c>
      <c r="F20" s="10" t="s">
        <v>45</v>
      </c>
      <c r="G20" s="12"/>
      <c r="H20" s="12"/>
      <c r="I20" s="2"/>
    </row>
  </sheetData>
  <mergeCells count="2">
    <mergeCell ref="A1:H1"/>
    <mergeCell ref="F3:H3"/>
  </mergeCells>
  <phoneticPr fontId="2" type="noConversion"/>
  <conditionalFormatting sqref="F9:F10">
    <cfRule type="containsText" dxfId="18" priority="19" operator="containsText" text="Perbaikan">
      <formula>NOT(ISERROR(SEARCH("Perbaikan",F9)))</formula>
    </cfRule>
  </conditionalFormatting>
  <conditionalFormatting sqref="F9:F10">
    <cfRule type="containsText" dxfId="17" priority="18" operator="containsText" text="Sedang Disewa">
      <formula>NOT(ISERROR(SEARCH("Sedang Disewa",F9)))</formula>
    </cfRule>
  </conditionalFormatting>
  <conditionalFormatting sqref="F9:F10">
    <cfRule type="containsText" dxfId="16" priority="14" operator="containsText" text="Sedang Disewa">
      <formula>NOT(ISERROR(SEARCH("Sedang Disewa",F9)))</formula>
    </cfRule>
    <cfRule type="containsText" dxfId="15" priority="16" operator="containsText" text="Perbaikan">
      <formula>NOT(ISERROR(SEARCH("Perbaikan",F9)))</formula>
    </cfRule>
    <cfRule type="containsText" dxfId="14" priority="17" operator="containsText" text="Perbaikan">
      <formula>NOT(ISERROR(SEARCH("Perbaikan",F9)))</formula>
    </cfRule>
  </conditionalFormatting>
  <conditionalFormatting sqref="F9:F10">
    <cfRule type="containsText" dxfId="13" priority="15" operator="containsText" text="Tersedia">
      <formula>NOT(ISERROR(SEARCH("Tersedia",F9)))</formula>
    </cfRule>
  </conditionalFormatting>
  <conditionalFormatting sqref="G13:G15">
    <cfRule type="containsText" dxfId="12" priority="13" operator="containsText" text="Lunas">
      <formula>NOT(ISERROR(SEARCH("Lunas",G13)))</formula>
    </cfRule>
  </conditionalFormatting>
  <conditionalFormatting sqref="G13:G15">
    <cfRule type="containsText" dxfId="11" priority="12" operator="containsText" text="Belum Bayar">
      <formula>NOT(ISERROR(SEARCH("Belum Bayar",G13)))</formula>
    </cfRule>
  </conditionalFormatting>
  <conditionalFormatting sqref="G13:G15">
    <cfRule type="containsText" dxfId="10" priority="11" operator="containsText" text="DP (100rb)">
      <formula>NOT(ISERROR(SEARCH("DP (100rb)",G13)))</formula>
    </cfRule>
  </conditionalFormatting>
  <conditionalFormatting sqref="F10">
    <cfRule type="containsText" dxfId="3" priority="1" operator="containsText" text="Sedang Disewa">
      <formula>NOT(ISERROR(SEARCH("Sedang Disewa",F10)))</formula>
    </cfRule>
    <cfRule type="containsText" dxfId="2" priority="2" operator="containsText" text="Sedang Disewa">
      <formula>NOT(ISERROR(SEARCH("Sedang Disewa",F10)))</formula>
    </cfRule>
    <cfRule type="containsText" dxfId="1" priority="3" operator="containsText" text="Sedang Disewa">
      <formula>NOT(ISERROR(SEARCH("Sedang Disewa",F10)))</formula>
    </cfRule>
    <cfRule type="containsText" dxfId="0" priority="4" operator="containsText" text="Sedang Disewa">
      <formula>NOT(ISERROR(SEARCH("Sedang Disewa",F10)))</formula>
    </cfRule>
  </conditionalFormatting>
  <dataValidations count="4">
    <dataValidation type="list" allowBlank="1" showInputMessage="1" showErrorMessage="1" sqref="F9:F10" xr:uid="{01DC5F56-36AD-4EF3-8657-DA10B695BD53}">
      <formula1>"Tersedia, Sedang Disewa, Perbaikan"</formula1>
    </dataValidation>
    <dataValidation type="list" allowBlank="1" showInputMessage="1" showErrorMessage="1" sqref="G13:G15" xr:uid="{9707FF15-D380-47A0-B3B9-DDC855ECBB13}">
      <formula1>"Lunas, DP (100rb), Belum Bayar"</formula1>
    </dataValidation>
    <dataValidation type="list" allowBlank="1" showInputMessage="1" showErrorMessage="1" sqref="D13:D15" xr:uid="{C53955AC-AA66-4A31-9258-686663D4C4CD}">
      <formula1>"Avanza,Jazz RS,"</formula1>
    </dataValidation>
    <dataValidation type="list" allowBlank="1" showInputMessage="1" showErrorMessage="1" sqref="D18:D20" xr:uid="{29254113-BD05-4F18-8481-C872E64EBE06}">
      <formula1>"KTP, KTP + Motor, SIM"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6745-6A50-41ED-A0EA-CE16AA38EC4D}">
  <dimension ref="A1:B9"/>
  <sheetViews>
    <sheetView showGridLines="0" tabSelected="1" workbookViewId="0">
      <selection activeCell="H14" sqref="H14"/>
    </sheetView>
  </sheetViews>
  <sheetFormatPr defaultRowHeight="15" x14ac:dyDescent="0.25"/>
  <cols>
    <col min="1" max="1" width="27.28515625" bestFit="1" customWidth="1"/>
    <col min="2" max="2" width="13.28515625" customWidth="1"/>
  </cols>
  <sheetData>
    <row r="1" spans="1:2" ht="17.25" x14ac:dyDescent="0.3">
      <c r="A1" s="31" t="s">
        <v>53</v>
      </c>
      <c r="B1" s="32"/>
    </row>
    <row r="2" spans="1:2" ht="17.25" x14ac:dyDescent="0.3">
      <c r="A2" s="33"/>
      <c r="B2" s="34"/>
    </row>
    <row r="3" spans="1:2" ht="17.25" x14ac:dyDescent="0.3">
      <c r="A3" s="35" t="s">
        <v>54</v>
      </c>
      <c r="B3" s="36" t="s">
        <v>22</v>
      </c>
    </row>
    <row r="4" spans="1:2" ht="17.25" x14ac:dyDescent="0.3">
      <c r="A4" s="37"/>
      <c r="B4" s="34"/>
    </row>
    <row r="5" spans="1:2" ht="17.25" x14ac:dyDescent="0.3">
      <c r="A5" s="35" t="s">
        <v>55</v>
      </c>
      <c r="B5" s="38" t="str">
        <f>VLOOKUP(B3,'Data Manajemen'!A13:H25,3,FALSE)</f>
        <v>Yudi</v>
      </c>
    </row>
    <row r="6" spans="1:2" ht="17.25" x14ac:dyDescent="0.3">
      <c r="A6" s="35" t="s">
        <v>56</v>
      </c>
      <c r="B6" s="38" t="str">
        <f>VLOOKUP(B3,'Data Manajemen'!A13:H100,4,FALSE)</f>
        <v>Avanza</v>
      </c>
    </row>
    <row r="7" spans="1:2" ht="17.25" x14ac:dyDescent="0.3">
      <c r="A7" s="35" t="s">
        <v>57</v>
      </c>
      <c r="B7" s="34">
        <f>VLOOKUP(B3,'Data Manajemen'!A13:H25,5,FALSE)</f>
        <v>1</v>
      </c>
    </row>
    <row r="8" spans="1:2" ht="17.25" x14ac:dyDescent="0.3">
      <c r="A8" s="35" t="s">
        <v>58</v>
      </c>
      <c r="B8" s="34">
        <f>VLOOKUP(B3,'Data Manajemen'!A13:H25,6,FALSE)</f>
        <v>150000</v>
      </c>
    </row>
    <row r="9" spans="1:2" ht="18" thickBot="1" x14ac:dyDescent="0.35">
      <c r="A9" s="39" t="s">
        <v>59</v>
      </c>
      <c r="B9" s="40">
        <f>VLOOKUP(B3,'Data Manajemen'!A13:H25,8,FALSE)</f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Manajemen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cp:lastPrinted>2026-05-11T15:45:37Z</cp:lastPrinted>
  <dcterms:created xsi:type="dcterms:W3CDTF">2026-05-11T14:20:11Z</dcterms:created>
  <dcterms:modified xsi:type="dcterms:W3CDTF">2026-05-11T16:05:34Z</dcterms:modified>
</cp:coreProperties>
</file>